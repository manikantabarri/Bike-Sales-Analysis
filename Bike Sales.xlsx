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manik\Downloads\"/>
    </mc:Choice>
  </mc:AlternateContent>
  <xr:revisionPtr revIDLastSave="0" documentId="13_ncr:1_{E1809DE8-47E0-4963-B95A-F45530240077}"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2" r:id="rId2"/>
    <sheet name="Pivot Table" sheetId="3" r:id="rId3"/>
    <sheet name="Bike Sales Dashboard" sheetId="6"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<sst xmlns="http://schemas.openxmlformats.org/spreadsheetml/2006/main" count="16267" uniqueCount="51">
  <si>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</si>
  <si>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</si>
  <si>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</si>
  <si>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</si>
  <si>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</si>
  <si>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</si>
  <si>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</si>
  <si>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</si>
  <si>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</si>
  <si>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</si>
  <si>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</si>
  <si>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</si>
  <si>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</si>
  <si>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</si>
  <si>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</si>
  <si>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</si>
  <si>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</si>
  <si>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</si>
  <si>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</si>
  <si>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</si>
  <si>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</si>
  <si>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</si>
  <si>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</si>
  <si>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</si>
  <si>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</si>
  <si>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</si>
  <si>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</si>
  <si>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</si>
  <si>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</si>
  <si>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</si>
  <si>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</si>
  <si>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</si>
  <si>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</si>
  <si>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</si>
  <si>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</si>
  <si>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</si>
  <si>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</si>
  <si>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</si>
  <si>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</si>
  <si>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</si>
  <si>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</si>
  <si>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</si>
  <si>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</si>
  <si>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</si>
  <si>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</si>
  <si>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More than 10 Miles</t>
  </si>
  <si>
    <t>Count of Purchased Bike</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</si>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</sst>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2" formatCode="0.00"/>
    </dxf>
    <dxf>
      <numFmt numFmtId="2" formatCode="0.00"/>
    </dxf>
    <dxf>
      <numFmt numFmtId="2" formatCode="0.00"/>
    </dxf>
    <dxf>
      <font>
        <b val="0"/>
        <i val="0"/>
        <color auto="1"/>
        <name val="Segoe UI Semibold"/>
        <family val="2"/>
        <scheme val="none"/>
      </font>
    </dxf>
  </dxfs>
  <tableStyles count="1" defaultTableStyle="TableStyleMedium2" defaultPivotStyle="PivotStyleLight16">
    <tableStyle name="Slicer Style 1" pivot="0" table="0" count="1" xr9:uid="{5E2EECC2-A016-4BB9-AA36-798219E6D87D}">
      <tableStyleElement type="wholeTable" dxfId="3"/>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Perchase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70603674540682"/>
          <c:y val="0.27717373869932921"/>
          <c:w val="0.6198495188101486"/>
          <c:h val="0.49049832312627589"/>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0.00</c:formatCode>
                <c:ptCount val="2"/>
                <c:pt idx="0">
                  <c:v>53440</c:v>
                </c:pt>
                <c:pt idx="1">
                  <c:v>56208.178438661707</c:v>
                </c:pt>
              </c:numCache>
            </c:numRef>
          </c:val>
          <c:extLst>
            <c:ext xmlns:c16="http://schemas.microsoft.com/office/drawing/2014/chart" uri="{C3380CC4-5D6E-409C-BE32-E72D297353CC}">
              <c16:uniqueId val="{00000000-FADD-42D6-989D-FEF7111CEB6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0.00</c:formatCode>
                <c:ptCount val="2"/>
                <c:pt idx="0">
                  <c:v>55774.058577405856</c:v>
                </c:pt>
                <c:pt idx="1">
                  <c:v>60123.966942148763</c:v>
                </c:pt>
              </c:numCache>
            </c:numRef>
          </c:val>
          <c:extLst>
            <c:ext xmlns:c16="http://schemas.microsoft.com/office/drawing/2014/chart" uri="{C3380CC4-5D6E-409C-BE32-E72D297353CC}">
              <c16:uniqueId val="{00000001-FADD-42D6-989D-FEF7111CEB6C}"/>
            </c:ext>
          </c:extLst>
        </c:ser>
        <c:dLbls>
          <c:showLegendKey val="0"/>
          <c:showVal val="0"/>
          <c:showCatName val="0"/>
          <c:showSerName val="0"/>
          <c:showPercent val="0"/>
          <c:showBubbleSize val="0"/>
        </c:dLbls>
        <c:gapWidth val="219"/>
        <c:overlap val="-27"/>
        <c:axId val="545918656"/>
        <c:axId val="543038976"/>
      </c:barChart>
      <c:catAx>
        <c:axId val="545918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038976"/>
        <c:crosses val="autoZero"/>
        <c:auto val="1"/>
        <c:lblAlgn val="ctr"/>
        <c:lblOffset val="100"/>
        <c:noMultiLvlLbl val="0"/>
      </c:catAx>
      <c:valAx>
        <c:axId val="543038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918656"/>
        <c:crosses val="autoZero"/>
        <c:crossBetween val="between"/>
      </c:valAx>
      <c:spPr>
        <a:noFill/>
        <a:ln>
          <a:noFill/>
        </a:ln>
        <a:effectLst/>
      </c:spPr>
    </c:plotArea>
    <c:legend>
      <c:legendPos val="tr"/>
      <c:layout>
        <c:manualLayout>
          <c:xMode val="edge"/>
          <c:yMode val="edge"/>
          <c:x val="0.78333333333333333"/>
          <c:y val="6.8840405365995908E-2"/>
          <c:w val="0.2"/>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025371828521432E-2"/>
          <c:y val="0.24476633129192185"/>
          <c:w val="0.69019685039370082"/>
          <c:h val="0.52297499270924463"/>
        </c:manualLayout>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E52-4A5E-BE72-0E718411B20B}"/>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E52-4A5E-BE72-0E718411B20B}"/>
            </c:ext>
          </c:extLst>
        </c:ser>
        <c:dLbls>
          <c:showLegendKey val="0"/>
          <c:showVal val="0"/>
          <c:showCatName val="0"/>
          <c:showSerName val="0"/>
          <c:showPercent val="0"/>
          <c:showBubbleSize val="0"/>
        </c:dLbls>
        <c:smooth val="0"/>
        <c:axId val="631261488"/>
        <c:axId val="631255248"/>
      </c:lineChart>
      <c:catAx>
        <c:axId val="631261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layout>
            <c:manualLayout>
              <c:xMode val="edge"/>
              <c:yMode val="edge"/>
              <c:x val="0.31131824146981629"/>
              <c:y val="0.888960338291046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255248"/>
        <c:crosses val="autoZero"/>
        <c:auto val="1"/>
        <c:lblAlgn val="ctr"/>
        <c:lblOffset val="100"/>
        <c:noMultiLvlLbl val="0"/>
      </c:catAx>
      <c:valAx>
        <c:axId val="63125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261488"/>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CB2-47C1-B433-CA488CB62A02}"/>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CB2-47C1-B433-CA488CB62A02}"/>
            </c:ext>
          </c:extLst>
        </c:ser>
        <c:dLbls>
          <c:showLegendKey val="0"/>
          <c:showVal val="0"/>
          <c:showCatName val="0"/>
          <c:showSerName val="0"/>
          <c:showPercent val="0"/>
          <c:showBubbleSize val="0"/>
        </c:dLbls>
        <c:marker val="1"/>
        <c:smooth val="0"/>
        <c:axId val="550865632"/>
        <c:axId val="550866048"/>
      </c:lineChart>
      <c:catAx>
        <c:axId val="550865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3682764654418198"/>
              <c:y val="0.83803441236512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866048"/>
        <c:crosses val="autoZero"/>
        <c:auto val="1"/>
        <c:lblAlgn val="ctr"/>
        <c:lblOffset val="100"/>
        <c:noMultiLvlLbl val="0"/>
      </c:catAx>
      <c:valAx>
        <c:axId val="550866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86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Table!PivotTable1</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Avg</a:t>
            </a:r>
            <a:r>
              <a:rPr lang="en-IN" baseline="0">
                <a:solidFill>
                  <a:schemeClr val="bg1"/>
                </a:solidFill>
              </a:rPr>
              <a:t> Income Per Perchase</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22422197225346"/>
          <c:y val="0.27717355643044622"/>
          <c:w val="0.6058440305255961"/>
          <c:h val="0.49049832312627589"/>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0.00</c:formatCode>
                <c:ptCount val="2"/>
                <c:pt idx="0">
                  <c:v>53440</c:v>
                </c:pt>
                <c:pt idx="1">
                  <c:v>56208.178438661707</c:v>
                </c:pt>
              </c:numCache>
            </c:numRef>
          </c:val>
          <c:extLst>
            <c:ext xmlns:c16="http://schemas.microsoft.com/office/drawing/2014/chart" uri="{C3380CC4-5D6E-409C-BE32-E72D297353CC}">
              <c16:uniqueId val="{00000000-7C41-45FD-901C-A4A3E83A042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0.00</c:formatCode>
                <c:ptCount val="2"/>
                <c:pt idx="0">
                  <c:v>55774.058577405856</c:v>
                </c:pt>
                <c:pt idx="1">
                  <c:v>60123.966942148763</c:v>
                </c:pt>
              </c:numCache>
            </c:numRef>
          </c:val>
          <c:extLst>
            <c:ext xmlns:c16="http://schemas.microsoft.com/office/drawing/2014/chart" uri="{C3380CC4-5D6E-409C-BE32-E72D297353CC}">
              <c16:uniqueId val="{00000001-7C41-45FD-901C-A4A3E83A0421}"/>
            </c:ext>
          </c:extLst>
        </c:ser>
        <c:dLbls>
          <c:showLegendKey val="0"/>
          <c:showVal val="0"/>
          <c:showCatName val="0"/>
          <c:showSerName val="0"/>
          <c:showPercent val="0"/>
          <c:showBubbleSize val="0"/>
        </c:dLbls>
        <c:gapWidth val="219"/>
        <c:overlap val="-27"/>
        <c:axId val="545918656"/>
        <c:axId val="543038976"/>
      </c:barChart>
      <c:catAx>
        <c:axId val="545918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3038976"/>
        <c:crosses val="autoZero"/>
        <c:auto val="1"/>
        <c:lblAlgn val="ctr"/>
        <c:lblOffset val="100"/>
        <c:noMultiLvlLbl val="0"/>
      </c:catAx>
      <c:valAx>
        <c:axId val="543038976"/>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5918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Customer</a:t>
            </a:r>
            <a:r>
              <a:rPr lang="en-IN" baseline="0">
                <a:solidFill>
                  <a:schemeClr val="bg1"/>
                </a:solidFill>
              </a:rPr>
              <a:t> Age Bracket</a:t>
            </a:r>
            <a:endParaRPr lang="en-IN">
              <a:solidFill>
                <a:schemeClr val="bg1"/>
              </a:solidFill>
            </a:endParaRPr>
          </a:p>
        </c:rich>
      </c:tx>
      <c:layout>
        <c:manualLayout>
          <c:xMode val="edge"/>
          <c:yMode val="edge"/>
          <c:x val="0.13783820815901493"/>
          <c:y val="0.1220621570031018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986596513022877E-2"/>
          <c:y val="0.2361246570031019"/>
          <c:w val="0.61512322560608002"/>
          <c:h val="0.58782025471247901"/>
        </c:manualLayout>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587-4EB4-9787-8B36CFECBCEF}"/>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587-4EB4-9787-8B36CFECBCEF}"/>
            </c:ext>
          </c:extLst>
        </c:ser>
        <c:dLbls>
          <c:showLegendKey val="0"/>
          <c:showVal val="0"/>
          <c:showCatName val="0"/>
          <c:showSerName val="0"/>
          <c:showPercent val="0"/>
          <c:showBubbleSize val="0"/>
        </c:dLbls>
        <c:marker val="1"/>
        <c:smooth val="0"/>
        <c:axId val="550865632"/>
        <c:axId val="550866048"/>
      </c:lineChart>
      <c:catAx>
        <c:axId val="55086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0866048"/>
        <c:crosses val="autoZero"/>
        <c:auto val="1"/>
        <c:lblAlgn val="ctr"/>
        <c:lblOffset val="100"/>
        <c:noMultiLvlLbl val="0"/>
      </c:catAx>
      <c:valAx>
        <c:axId val="550866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0865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Table!PivotTable3</c:name>
    <c:fmtId val="4"/>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IN">
                <a:solidFill>
                  <a:schemeClr val="bg1"/>
                </a:solidFill>
              </a:rPr>
              <a:t>Customer Commute</a:t>
            </a:r>
          </a:p>
        </c:rich>
      </c:tx>
      <c:layout>
        <c:manualLayout>
          <c:xMode val="edge"/>
          <c:yMode val="edge"/>
          <c:x val="0.31842551342266423"/>
          <c:y val="0.1145756780402449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025371828521432E-2"/>
          <c:y val="0.24476633129192185"/>
          <c:w val="0.69019685039370082"/>
          <c:h val="0.52297499270924463"/>
        </c:manualLayout>
      </c:layout>
      <c:lineChart>
        <c:grouping val="standard"/>
        <c:varyColors val="0"/>
        <c:ser>
          <c:idx val="0"/>
          <c:order val="0"/>
          <c:tx>
            <c:strRef>
              <c:f>'Pivot Table'!$B$19:$B$20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3BB-42FC-95FD-8E89A92FEEAE}"/>
            </c:ext>
          </c:extLst>
        </c:ser>
        <c:ser>
          <c:idx val="1"/>
          <c:order val="1"/>
          <c:tx>
            <c:strRef>
              <c:f>'Pivot Table'!$C$19:$C$20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3BB-42FC-95FD-8E89A92FEEAE}"/>
            </c:ext>
          </c:extLst>
        </c:ser>
        <c:dLbls>
          <c:showLegendKey val="0"/>
          <c:showVal val="0"/>
          <c:showCatName val="0"/>
          <c:showSerName val="0"/>
          <c:showPercent val="0"/>
          <c:showBubbleSize val="0"/>
        </c:dLbls>
        <c:marker val="1"/>
        <c:smooth val="0"/>
        <c:axId val="631261488"/>
        <c:axId val="631255248"/>
      </c:lineChart>
      <c:catAx>
        <c:axId val="63126148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31255248"/>
        <c:crosses val="autoZero"/>
        <c:auto val="1"/>
        <c:lblAlgn val="ctr"/>
        <c:lblOffset val="100"/>
        <c:noMultiLvlLbl val="0"/>
      </c:catAx>
      <c:valAx>
        <c:axId val="6312552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31261488"/>
        <c:crosses val="autoZero"/>
        <c:crossBetween val="between"/>
      </c:valAx>
      <c:spPr>
        <a:solidFill>
          <a:schemeClr val="tx1">
            <a:lumMod val="85000"/>
            <a:lumOff val="1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381000</xdr:colOff>
      <xdr:row>0</xdr:row>
      <xdr:rowOff>137160</xdr:rowOff>
    </xdr:from>
    <xdr:to>
      <xdr:col>12</xdr:col>
      <xdr:colOff>76200</xdr:colOff>
      <xdr:row>15</xdr:row>
      <xdr:rowOff>137160</xdr:rowOff>
    </xdr:to>
    <xdr:graphicFrame macro="">
      <xdr:nvGraphicFramePr>
        <xdr:cNvPr id="2" name="Chart 1">
          <a:extLst>
            <a:ext uri="{FF2B5EF4-FFF2-40B4-BE49-F238E27FC236}">
              <a16:creationId xmlns:a16="http://schemas.microsoft.com/office/drawing/2014/main" id="{EE8E6FB7-F995-176F-6391-AFA94CAF0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53340</xdr:colOff>
      <xdr:row>17</xdr:row>
      <xdr:rowOff>83820</xdr:rowOff>
    </xdr:from>
    <xdr:to>
      <xdr:col>12</xdr:col>
      <xdr:colOff>358140</xdr:colOff>
      <xdr:row>32</xdr:row>
      <xdr:rowOff>83820</xdr:rowOff>
    </xdr:to>
    <xdr:graphicFrame macro="">
      <xdr:nvGraphicFramePr>
        <xdr:cNvPr id="3" name="Chart 2">
          <a:extLst>
            <a:ext uri="{FF2B5EF4-FFF2-40B4-BE49-F238E27FC236}">
              <a16:creationId xmlns:a16="http://schemas.microsoft.com/office/drawing/2014/main" id="{D4ABC13D-48E3-B2DF-A12A-03D799CEE8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99060</xdr:colOff>
      <xdr:row>35</xdr:row>
      <xdr:rowOff>137160</xdr:rowOff>
    </xdr:from>
    <xdr:to>
      <xdr:col>12</xdr:col>
      <xdr:colOff>403860</xdr:colOff>
      <xdr:row>50</xdr:row>
      <xdr:rowOff>137160</xdr:rowOff>
    </xdr:to>
    <xdr:graphicFrame macro="">
      <xdr:nvGraphicFramePr>
        <xdr:cNvPr id="4" name="Chart 3">
          <a:extLst>
            <a:ext uri="{FF2B5EF4-FFF2-40B4-BE49-F238E27FC236}">
              <a16:creationId xmlns:a16="http://schemas.microsoft.com/office/drawing/2014/main" id="{DD166B63-B9F1-534D-2F8A-4E3E0C5868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601980</xdr:colOff>
      <xdr:row>5</xdr:row>
      <xdr:rowOff>7620</xdr:rowOff>
    </xdr:from>
    <xdr:to>
      <xdr:col>8</xdr:col>
      <xdr:colOff>571500</xdr:colOff>
      <xdr:row>19</xdr:row>
      <xdr:rowOff>129540</xdr:rowOff>
    </xdr:to>
    <xdr:graphicFrame macro="">
      <xdr:nvGraphicFramePr>
        <xdr:cNvPr id="3" name="Chart 2">
          <a:extLst>
            <a:ext uri="{FF2B5EF4-FFF2-40B4-BE49-F238E27FC236}">
              <a16:creationId xmlns:a16="http://schemas.microsoft.com/office/drawing/2014/main" id="{AF10DDB9-5FC1-483F-8E1D-016DA6044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5</xdr:row>
      <xdr:rowOff>7620</xdr:rowOff>
    </xdr:from>
    <xdr:to>
      <xdr:col>15</xdr:col>
      <xdr:colOff>15240</xdr:colOff>
      <xdr:row>19</xdr:row>
      <xdr:rowOff>144780</xdr:rowOff>
    </xdr:to>
    <xdr:graphicFrame macro="">
      <xdr:nvGraphicFramePr>
        <xdr:cNvPr id="5" name="Chart 4">
          <a:extLst>
            <a:ext uri="{FF2B5EF4-FFF2-40B4-BE49-F238E27FC236}">
              <a16:creationId xmlns:a16="http://schemas.microsoft.com/office/drawing/2014/main" id="{2BE623F3-7BA6-4D69-B1FA-CE431A976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594360</xdr:colOff>
      <xdr:row>19</xdr:row>
      <xdr:rowOff>121920</xdr:rowOff>
    </xdr:from>
    <xdr:to>
      <xdr:col>15</xdr:col>
      <xdr:colOff>22860</xdr:colOff>
      <xdr:row>32</xdr:row>
      <xdr:rowOff>30480</xdr:rowOff>
    </xdr:to>
    <xdr:graphicFrame macro="">
      <xdr:nvGraphicFramePr>
        <xdr:cNvPr id="7" name="Chart 6">
          <a:extLst>
            <a:ext uri="{FF2B5EF4-FFF2-40B4-BE49-F238E27FC236}">
              <a16:creationId xmlns:a16="http://schemas.microsoft.com/office/drawing/2014/main" id="{0B880146-2392-446F-AC96-D394586E4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15240</xdr:rowOff>
    </xdr:from>
    <xdr:to>
      <xdr:col>2</xdr:col>
      <xdr:colOff>586740</xdr:colOff>
      <xdr:row>9</xdr:row>
      <xdr:rowOff>175260</xdr:rowOff>
    </xdr:to>
    <mc:AlternateContent xmlns:mc="http://schemas.openxmlformats.org/markup-compatibility/2006" xmlns:a14="http://schemas.microsoft.com/office/drawing/2010/main">
      <mc:Choice Requires="a14">
        <xdr:graphicFrame macro="">
          <xdr:nvGraphicFramePr>
            <xdr:cNvPr id="8" name="Marital Status">
              <a:extLst>
                <a:ext uri="{FF2B5EF4-FFF2-40B4-BE49-F238E27FC236}">
                  <a16:creationId xmlns:a16="http://schemas.microsoft.com/office/drawing/2014/main" id="{C873FADD-181E-E2B6-45AD-AC6D46C1436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929640"/>
              <a:ext cx="180594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114301</xdr:rowOff>
    </xdr:from>
    <xdr:to>
      <xdr:col>2</xdr:col>
      <xdr:colOff>586740</xdr:colOff>
      <xdr:row>25</xdr:row>
      <xdr:rowOff>167640</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3BE6DF8F-AE6E-F90C-4F36-DFB7A512AF4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040381"/>
              <a:ext cx="1775460" cy="1699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7620</xdr:rowOff>
    </xdr:from>
    <xdr:to>
      <xdr:col>2</xdr:col>
      <xdr:colOff>586740</xdr:colOff>
      <xdr:row>16</xdr:row>
      <xdr:rowOff>91440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C3399635-6E40-8145-9CE5-31077F049BC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836420"/>
              <a:ext cx="178308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k" refreshedDate="44823.50684652778" createdVersion="8" refreshedVersion="8" minRefreshableVersion="3" recordCount="1000" xr:uid="{21FBC858-CC5B-455E-A210-8015D6A66FA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866703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37B7DE-1497-4D90-8C86-0EA1C7B92A2D}"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D2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90C529-3163-406B-B020-69F85132E18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2"/>
  </dataFields>
  <formats count="1">
    <format dxfId="0">
      <pivotArea outline="0" collapsedLevelsAreSubtotals="1" fieldPosition="0"/>
    </format>
  </formats>
  <chartFormats count="4">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227F26-D07E-4FC2-B228-59347DDBC6E6}"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7:D4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4388F01-14D0-491B-B693-3B9B2695CBC3}" sourceName="Marital Status">
  <pivotTables>
    <pivotTable tabId="3" name="PivotTable1"/>
    <pivotTable tabId="3" name="PivotTable3"/>
    <pivotTable tabId="3" name="PivotTable4"/>
  </pivotTables>
  <data>
    <tabular pivotCacheId="68667038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B415777-3C19-4B55-849F-2CF7DFCB43D2}" sourceName="Education">
  <pivotTables>
    <pivotTable tabId="3" name="PivotTable1"/>
    <pivotTable tabId="3" name="PivotTable3"/>
    <pivotTable tabId="3" name="PivotTable4"/>
  </pivotTables>
  <data>
    <tabular pivotCacheId="68667038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CEB69CD-26E7-4E81-9533-FF58DC5043D3}" sourceName="Region">
  <pivotTables>
    <pivotTable tabId="3" name="PivotTable1"/>
    <pivotTable tabId="3" name="PivotTable3"/>
    <pivotTable tabId="3" name="PivotTable4"/>
  </pivotTables>
  <data>
    <tabular pivotCacheId="68667038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B2C97D5-7466-4B2C-B5FF-DE45C22D6CB9}" cache="Slicer_Marital_Status" caption="Marital Status" rowHeight="234950"/>
  <slicer name="Education" xr10:uid="{257BEE90-F913-4712-BBA8-4137459E3869}" cache="Slicer_Education" caption="Education" rowHeight="234950"/>
  <slicer name="Region" xr10:uid="{5B13DB58-C5CE-45F5-A54A-BD3559A09AD4}"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pane ySplit="1" topLeftCell="A2" activePane="bottomLeft" state="frozen"/>
      <selection pane="bottomLeft" sqref="A1:XFD1048576"/>
    </sheetView>
  </sheetViews>
  <sheetFormatPr defaultColWidth="11.88671875" defaultRowHeight="14.4" x14ac:dyDescent="0.3"/>
  <cols>
    <col min="6" max="6" width="16.21875" bestFit="1" customWidth="1"/>
    <col min="7" max="7" width="12.6640625" bestFit="1" customWidth="1"/>
    <col min="10" max="10" width="16.5546875" bestFit="1"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1603D-79FE-44A8-9EEC-06CC93E97B47}">
  <dimension ref="A1:N1001"/>
  <sheetViews>
    <sheetView topLeftCell="A975" workbookViewId="0">
      <selection activeCell="A978" sqref="A978"/>
    </sheetView>
  </sheetViews>
  <sheetFormatPr defaultColWidth="11.88671875" defaultRowHeight="14.4" x14ac:dyDescent="0.3"/>
  <cols>
    <col min="2" max="2" width="14.5546875" bestFit="1" customWidth="1"/>
    <col min="4" max="4" width="12.88671875" style="3" bestFit="1" customWidth="1"/>
    <col min="6" max="6" width="16.21875" bestFit="1" customWidth="1"/>
    <col min="7" max="7" width="12.6640625" bestFit="1" customWidth="1"/>
    <col min="10" max="10" width="16.5546875" bestFit="1"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45</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45</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45</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45</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45</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45</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45</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45</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45</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45</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45</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45</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45</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45</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45</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45</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45</v>
      </c>
      <c r="K195" t="s">
        <v>24</v>
      </c>
      <c r="L195">
        <v>41</v>
      </c>
      <c r="M195" t="str">
        <f t="shared" ref="M195:M258" si="3">IF(L195&gt;54,"Old",IF(L195&gt;=31,"Middle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45</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45</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45</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45</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45</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45</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45</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45</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45</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45</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45</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45</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45</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45</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45</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45</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45</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45</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45</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45</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45</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45</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45</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45</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45</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45</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45</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45</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45</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45</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45</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45</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45</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45</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45</v>
      </c>
      <c r="K515" t="s">
        <v>32</v>
      </c>
      <c r="L515">
        <v>61</v>
      </c>
      <c r="M515" t="str">
        <f t="shared" ref="M515:M578" si="8">IF(L515&gt;54,"Old",IF(L515&gt;=31,"Middle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45</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45</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45</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45</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45</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45</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45</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45</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45</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45</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45</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45</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45</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45</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45</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45</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45</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45</v>
      </c>
      <c r="K643" t="s">
        <v>32</v>
      </c>
      <c r="L643">
        <v>64</v>
      </c>
      <c r="M643" t="str">
        <f t="shared" ref="M643:M706" si="10">IF(L643&gt;54,"Old",IF(L643&gt;=31,"Middle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45</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45</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45</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45</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45</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45</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45</v>
      </c>
      <c r="K707" t="s">
        <v>32</v>
      </c>
      <c r="L707">
        <v>59</v>
      </c>
      <c r="M707" t="str">
        <f t="shared" ref="M707:M770" si="11">IF(L707&gt;54,"Old",IF(L707&gt;=31,"Middle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45</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45</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45</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45</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45</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45</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45</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45</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45</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45</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45</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45</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45</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45</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45</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45</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45</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45</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45</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45</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45</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45</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45</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45</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45</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45</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45</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45</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45</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45</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45</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45</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45</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45</v>
      </c>
      <c r="K1001" t="s">
        <v>32</v>
      </c>
      <c r="L1001">
        <v>53</v>
      </c>
      <c r="M1001" t="str">
        <f t="shared" si="15"/>
        <v>Middle Age</v>
      </c>
      <c r="N1001" t="s">
        <v>15</v>
      </c>
    </row>
  </sheetData>
  <autoFilter ref="A1:N1001" xr:uid="{4621603D-79FE-44A8-9EEC-06CC93E97B4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EFE03-B8DE-43E4-86C7-FABBEA9B24DB}">
  <dimension ref="A1:D42"/>
  <sheetViews>
    <sheetView workbookViewId="0">
      <selection activeCell="M34" sqref="M34"/>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5" t="s">
        <v>43</v>
      </c>
      <c r="B1" s="5" t="s">
        <v>44</v>
      </c>
    </row>
    <row r="2" spans="1:4" x14ac:dyDescent="0.3">
      <c r="A2" s="5" t="s">
        <v>41</v>
      </c>
      <c r="B2" t="s">
        <v>18</v>
      </c>
      <c r="C2" t="s">
        <v>15</v>
      </c>
      <c r="D2" t="s">
        <v>42</v>
      </c>
    </row>
    <row r="3" spans="1:4" x14ac:dyDescent="0.3">
      <c r="A3" s="6" t="s">
        <v>39</v>
      </c>
      <c r="B3" s="7">
        <v>53440</v>
      </c>
      <c r="C3" s="7">
        <v>55774.058577405856</v>
      </c>
      <c r="D3" s="7">
        <v>54580.777096114522</v>
      </c>
    </row>
    <row r="4" spans="1:4" x14ac:dyDescent="0.3">
      <c r="A4" s="6" t="s">
        <v>38</v>
      </c>
      <c r="B4" s="7">
        <v>56208.178438661707</v>
      </c>
      <c r="C4" s="7">
        <v>60123.966942148763</v>
      </c>
      <c r="D4" s="7">
        <v>58062.62230919765</v>
      </c>
    </row>
    <row r="5" spans="1:4" x14ac:dyDescent="0.3">
      <c r="A5" s="6" t="s">
        <v>42</v>
      </c>
      <c r="B5" s="7">
        <v>54874.759152215796</v>
      </c>
      <c r="C5" s="7">
        <v>57962.577962577961</v>
      </c>
      <c r="D5" s="7">
        <v>56360</v>
      </c>
    </row>
    <row r="6" spans="1:4" x14ac:dyDescent="0.3">
      <c r="B6" s="7"/>
      <c r="C6" s="7"/>
      <c r="D6" s="7"/>
    </row>
    <row r="19" spans="1:4" x14ac:dyDescent="0.3">
      <c r="A19" s="5" t="s">
        <v>46</v>
      </c>
      <c r="B19" s="5" t="s">
        <v>44</v>
      </c>
    </row>
    <row r="20" spans="1:4" x14ac:dyDescent="0.3">
      <c r="A20" s="5" t="s">
        <v>41</v>
      </c>
      <c r="B20" t="s">
        <v>18</v>
      </c>
      <c r="C20" t="s">
        <v>15</v>
      </c>
      <c r="D20" t="s">
        <v>42</v>
      </c>
    </row>
    <row r="21" spans="1:4" x14ac:dyDescent="0.3">
      <c r="A21" s="6" t="s">
        <v>16</v>
      </c>
      <c r="B21" s="4">
        <v>166</v>
      </c>
      <c r="C21" s="4">
        <v>200</v>
      </c>
      <c r="D21" s="4">
        <v>366</v>
      </c>
    </row>
    <row r="22" spans="1:4" x14ac:dyDescent="0.3">
      <c r="A22" s="6" t="s">
        <v>26</v>
      </c>
      <c r="B22" s="4">
        <v>92</v>
      </c>
      <c r="C22" s="4">
        <v>77</v>
      </c>
      <c r="D22" s="4">
        <v>169</v>
      </c>
    </row>
    <row r="23" spans="1:4" x14ac:dyDescent="0.3">
      <c r="A23" s="6" t="s">
        <v>22</v>
      </c>
      <c r="B23" s="4">
        <v>67</v>
      </c>
      <c r="C23" s="4">
        <v>95</v>
      </c>
      <c r="D23" s="4">
        <v>162</v>
      </c>
    </row>
    <row r="24" spans="1:4" x14ac:dyDescent="0.3">
      <c r="A24" s="6" t="s">
        <v>23</v>
      </c>
      <c r="B24" s="4">
        <v>116</v>
      </c>
      <c r="C24" s="4">
        <v>76</v>
      </c>
      <c r="D24" s="4">
        <v>192</v>
      </c>
    </row>
    <row r="25" spans="1:4" x14ac:dyDescent="0.3">
      <c r="A25" s="6" t="s">
        <v>45</v>
      </c>
      <c r="B25" s="4">
        <v>78</v>
      </c>
      <c r="C25" s="4">
        <v>33</v>
      </c>
      <c r="D25" s="4">
        <v>111</v>
      </c>
    </row>
    <row r="26" spans="1:4" x14ac:dyDescent="0.3">
      <c r="A26" s="6" t="s">
        <v>42</v>
      </c>
      <c r="B26" s="4">
        <v>519</v>
      </c>
      <c r="C26" s="4">
        <v>481</v>
      </c>
      <c r="D26" s="4">
        <v>1000</v>
      </c>
    </row>
    <row r="37" spans="1:4" x14ac:dyDescent="0.3">
      <c r="A37" s="5" t="s">
        <v>46</v>
      </c>
      <c r="B37" s="5" t="s">
        <v>44</v>
      </c>
    </row>
    <row r="38" spans="1:4" x14ac:dyDescent="0.3">
      <c r="A38" s="5" t="s">
        <v>41</v>
      </c>
      <c r="B38" t="s">
        <v>18</v>
      </c>
      <c r="C38" t="s">
        <v>15</v>
      </c>
      <c r="D38" t="s">
        <v>42</v>
      </c>
    </row>
    <row r="39" spans="1:4" x14ac:dyDescent="0.3">
      <c r="A39" s="6" t="s">
        <v>47</v>
      </c>
      <c r="B39" s="4">
        <v>71</v>
      </c>
      <c r="C39" s="4">
        <v>39</v>
      </c>
      <c r="D39" s="4">
        <v>110</v>
      </c>
    </row>
    <row r="40" spans="1:4" x14ac:dyDescent="0.3">
      <c r="A40" s="6" t="s">
        <v>48</v>
      </c>
      <c r="B40" s="4">
        <v>318</v>
      </c>
      <c r="C40" s="4">
        <v>383</v>
      </c>
      <c r="D40" s="4">
        <v>701</v>
      </c>
    </row>
    <row r="41" spans="1:4" x14ac:dyDescent="0.3">
      <c r="A41" s="6" t="s">
        <v>49</v>
      </c>
      <c r="B41" s="4">
        <v>130</v>
      </c>
      <c r="C41" s="4">
        <v>59</v>
      </c>
      <c r="D41" s="4">
        <v>189</v>
      </c>
    </row>
    <row r="42" spans="1:4" x14ac:dyDescent="0.3">
      <c r="A42" s="6" t="s">
        <v>42</v>
      </c>
      <c r="B42" s="4">
        <v>519</v>
      </c>
      <c r="C42" s="4">
        <v>481</v>
      </c>
      <c r="D42"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C7C9A-D933-443A-8D96-923AC9168F60}">
  <dimension ref="A1:O8"/>
  <sheetViews>
    <sheetView showGridLines="0" tabSelected="1" zoomScaleNormal="100" workbookViewId="0">
      <selection activeCell="Q13" sqref="Q13"/>
    </sheetView>
  </sheetViews>
  <sheetFormatPr defaultRowHeight="14.4" x14ac:dyDescent="0.3"/>
  <sheetData>
    <row r="1" spans="1:15" ht="14.4" customHeight="1" x14ac:dyDescent="0.3">
      <c r="A1" s="9" t="s">
        <v>50</v>
      </c>
      <c r="B1" s="9"/>
      <c r="C1" s="9"/>
      <c r="D1" s="9"/>
      <c r="E1" s="9"/>
      <c r="F1" s="9"/>
      <c r="G1" s="9"/>
      <c r="H1" s="9"/>
      <c r="I1" s="9"/>
      <c r="J1" s="9"/>
      <c r="K1" s="9"/>
      <c r="L1" s="9"/>
      <c r="M1" s="9"/>
      <c r="N1" s="9"/>
      <c r="O1" s="9"/>
    </row>
    <row r="2" spans="1:15" ht="14.4" customHeight="1" x14ac:dyDescent="0.3">
      <c r="A2" s="9"/>
      <c r="B2" s="9"/>
      <c r="C2" s="9"/>
      <c r="D2" s="9"/>
      <c r="E2" s="9"/>
      <c r="F2" s="9"/>
      <c r="G2" s="9"/>
      <c r="H2" s="9"/>
      <c r="I2" s="9"/>
      <c r="J2" s="9"/>
      <c r="K2" s="9"/>
      <c r="L2" s="9"/>
      <c r="M2" s="9"/>
      <c r="N2" s="9"/>
      <c r="O2" s="9"/>
    </row>
    <row r="3" spans="1:15" ht="14.4" customHeight="1" x14ac:dyDescent="0.3">
      <c r="A3" s="9"/>
      <c r="B3" s="9"/>
      <c r="C3" s="9"/>
      <c r="D3" s="9"/>
      <c r="E3" s="9"/>
      <c r="F3" s="9"/>
      <c r="G3" s="9"/>
      <c r="H3" s="9"/>
      <c r="I3" s="9"/>
      <c r="J3" s="9"/>
      <c r="K3" s="9"/>
      <c r="L3" s="9"/>
      <c r="M3" s="9"/>
      <c r="N3" s="9"/>
      <c r="O3" s="9"/>
    </row>
    <row r="4" spans="1:15" ht="14.4" customHeight="1" x14ac:dyDescent="0.3">
      <c r="A4" s="9"/>
      <c r="B4" s="9"/>
      <c r="C4" s="9"/>
      <c r="D4" s="9"/>
      <c r="E4" s="9"/>
      <c r="F4" s="9"/>
      <c r="G4" s="9"/>
      <c r="H4" s="9"/>
      <c r="I4" s="9"/>
      <c r="J4" s="9"/>
      <c r="K4" s="9"/>
      <c r="L4" s="9"/>
      <c r="M4" s="9"/>
      <c r="N4" s="9"/>
      <c r="O4" s="9"/>
    </row>
    <row r="5" spans="1:15" ht="14.4" customHeight="1" x14ac:dyDescent="0.3">
      <c r="A5" s="9"/>
      <c r="B5" s="9"/>
      <c r="C5" s="9"/>
      <c r="D5" s="9"/>
      <c r="E5" s="9"/>
      <c r="F5" s="9"/>
      <c r="G5" s="9"/>
      <c r="H5" s="9"/>
      <c r="I5" s="9"/>
      <c r="J5" s="9"/>
      <c r="K5" s="9"/>
      <c r="L5" s="9"/>
      <c r="M5" s="9"/>
      <c r="N5" s="9"/>
      <c r="O5" s="9"/>
    </row>
    <row r="8" spans="1:15" x14ac:dyDescent="0.3">
      <c r="H8" s="8"/>
    </row>
  </sheetData>
  <mergeCells count="1">
    <mergeCell ref="A1:O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Bike 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manik</cp:lastModifiedBy>
  <dcterms:created xsi:type="dcterms:W3CDTF">2022-03-18T02:50:57Z</dcterms:created>
  <dcterms:modified xsi:type="dcterms:W3CDTF">2022-09-23T11:02:33Z</dcterms:modified>
</cp:coreProperties>
</file>